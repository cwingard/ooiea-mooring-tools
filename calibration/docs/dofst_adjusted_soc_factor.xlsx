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a\Documents\OOI\CALS\WFP\"/>
    </mc:Choice>
  </mc:AlternateContent>
  <xr:revisionPtr revIDLastSave="0" documentId="13_ncr:1_{6B3B7E81-0B9A-4568-98D3-67DDDA8B6A44}" xr6:coauthVersionLast="47" xr6:coauthVersionMax="47" xr10:uidLastSave="{00000000-0000-0000-0000-000000000000}"/>
  <bookViews>
    <workbookView xWindow="-28530" yWindow="1560" windowWidth="21180" windowHeight="16320" xr2:uid="{9EEEAD97-6A1D-4C6D-9A00-0766E50DB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F20" i="1"/>
  <c r="E20" i="1"/>
  <c r="C20" i="1"/>
  <c r="B20" i="1"/>
  <c r="C19" i="1"/>
  <c r="B19" i="1"/>
  <c r="E18" i="1"/>
  <c r="F18" i="1"/>
  <c r="E17" i="1"/>
  <c r="F17" i="1"/>
  <c r="F5" i="1"/>
  <c r="F6" i="1"/>
  <c r="F7" i="1"/>
  <c r="F8" i="1"/>
  <c r="F10" i="1"/>
  <c r="F11" i="1"/>
  <c r="F12" i="1"/>
  <c r="F13" i="1"/>
  <c r="F14" i="1"/>
  <c r="F15" i="1"/>
  <c r="F16" i="1"/>
  <c r="F4" i="1"/>
  <c r="F19" i="1" s="1"/>
  <c r="E16" i="1"/>
  <c r="E4" i="1"/>
  <c r="E5" i="1"/>
  <c r="E6" i="1"/>
  <c r="E7" i="1"/>
  <c r="E8" i="1"/>
  <c r="E10" i="1"/>
  <c r="E11" i="1"/>
  <c r="E12" i="1"/>
  <c r="E13" i="1"/>
  <c r="E14" i="1"/>
  <c r="E15" i="1"/>
  <c r="E19" i="1" l="1"/>
</calcChain>
</file>

<file path=xl/sharedStrings.xml><?xml version="1.0" encoding="utf-8"?>
<sst xmlns="http://schemas.openxmlformats.org/spreadsheetml/2006/main" count="35" uniqueCount="33">
  <si>
    <t>2021A</t>
  </si>
  <si>
    <t>adjSoc</t>
  </si>
  <si>
    <t>SN</t>
  </si>
  <si>
    <t>2015A</t>
  </si>
  <si>
    <t>2015B</t>
  </si>
  <si>
    <t>2016A</t>
  </si>
  <si>
    <t>2016B</t>
  </si>
  <si>
    <t>2017A</t>
  </si>
  <si>
    <t>2017B</t>
  </si>
  <si>
    <t>2018A</t>
  </si>
  <si>
    <t>2018B</t>
  </si>
  <si>
    <t>2020S</t>
  </si>
  <si>
    <t>2019A</t>
  </si>
  <si>
    <t>2019B</t>
  </si>
  <si>
    <t>2014A</t>
  </si>
  <si>
    <t>2014B</t>
  </si>
  <si>
    <t>notAvailable</t>
  </si>
  <si>
    <t>adj/soc</t>
  </si>
  <si>
    <t>2021B</t>
  </si>
  <si>
    <t>2022A</t>
  </si>
  <si>
    <t>2022B</t>
  </si>
  <si>
    <t>2023A</t>
  </si>
  <si>
    <t>Soc*1.0E4</t>
  </si>
  <si>
    <t>adj-Soc</t>
  </si>
  <si>
    <t>???</t>
  </si>
  <si>
    <t>soc</t>
  </si>
  <si>
    <t>adj</t>
  </si>
  <si>
    <t>y=ax</t>
  </si>
  <si>
    <t>y=mx+b</t>
  </si>
  <si>
    <t>a</t>
  </si>
  <si>
    <t>m</t>
  </si>
  <si>
    <t>b</t>
  </si>
  <si>
    <t>&lt;----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</si>
</sst>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2" borderId="1" xfId="0" applyFont="1" applyFill="1" applyBorder="1"/>
    <xf numFmtId="166" fontId="2" fillId="2" borderId="2" xfId="0" applyNumberFormat="1" applyFont="1" applyFill="1" applyBorder="1"/>
    <xf numFmtId="0" fontId="3" fillId="2" borderId="3" xfId="0" applyFont="1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adj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3140857392825"/>
                  <c:y val="0.26810185185185187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8171259842519681E-2"/>
                  <c:y val="8.7546296296296303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Sheet1!$H$2:$H$15</c:f>
              <c:numCache>
                <c:formatCode>General</c:formatCode>
                <c:ptCount val="14"/>
                <c:pt idx="0">
                  <c:v>2.6278999999999999</c:v>
                </c:pt>
                <c:pt idx="1">
                  <c:v>2.7004000000000001</c:v>
                </c:pt>
                <c:pt idx="2">
                  <c:v>2.7103000000000002</c:v>
                </c:pt>
                <c:pt idx="3">
                  <c:v>2.7440000000000002</c:v>
                </c:pt>
                <c:pt idx="4">
                  <c:v>2.8008000000000002</c:v>
                </c:pt>
                <c:pt idx="5">
                  <c:v>2.988</c:v>
                </c:pt>
                <c:pt idx="6">
                  <c:v>3.0169999999999999</c:v>
                </c:pt>
                <c:pt idx="7">
                  <c:v>3.1589</c:v>
                </c:pt>
                <c:pt idx="8">
                  <c:v>3.1741999999999999</c:v>
                </c:pt>
                <c:pt idx="9">
                  <c:v>3.2726999999999999</c:v>
                </c:pt>
                <c:pt idx="10">
                  <c:v>3.4268000000000001</c:v>
                </c:pt>
                <c:pt idx="11">
                  <c:v>3.4662999999999999</c:v>
                </c:pt>
                <c:pt idx="12">
                  <c:v>3.5066999999999999</c:v>
                </c:pt>
                <c:pt idx="13">
                  <c:v>3.6684000000000001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2.7191000000000001</c:v>
                </c:pt>
                <c:pt idx="1">
                  <c:v>2.7719999999999998</c:v>
                </c:pt>
                <c:pt idx="2">
                  <c:v>2.8589000000000002</c:v>
                </c:pt>
                <c:pt idx="3">
                  <c:v>2.8456000000000001</c:v>
                </c:pt>
                <c:pt idx="4">
                  <c:v>2.9230999999999998</c:v>
                </c:pt>
                <c:pt idx="5">
                  <c:v>3.089</c:v>
                </c:pt>
                <c:pt idx="6">
                  <c:v>3.0468000000000002</c:v>
                </c:pt>
                <c:pt idx="7">
                  <c:v>3.2804000000000002</c:v>
                </c:pt>
                <c:pt idx="8">
                  <c:v>3.2608999999999999</c:v>
                </c:pt>
                <c:pt idx="9">
                  <c:v>3.3178999999999998</c:v>
                </c:pt>
                <c:pt idx="10">
                  <c:v>3.6981000000000002</c:v>
                </c:pt>
                <c:pt idx="11">
                  <c:v>3.5741999999999998</c:v>
                </c:pt>
                <c:pt idx="12">
                  <c:v>3.6053000000000002</c:v>
                </c:pt>
                <c:pt idx="13">
                  <c:v>3.7995999999999999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B-4308-A826-72D2DE43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260767"/>
        <c:axId val="2097268671"/>
      </c:scatterChart>
      <c:valAx>
        <c:axId val="2097260767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68671"/>
        <c:crosses val="autoZero"/>
        <c:crossBetween val="midCat"/>
      </c:valAx>
      <c:valAx>
        <c:axId val="209726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SOCadj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6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528637</xdr:colOff>
      <xdr:row>20</xdr:row>
      <xdr:rowOff>19051</xdr:rowOff>
    </xdr:from>
    <xdr:to>
      <xdr:col>12</xdr:col>
      <xdr:colOff>438150</xdr:colOff>
      <xdr:row>36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B53FA-AA47-6F23-E49E-AFF734F2B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D760-BF73-41E4-8C07-A32A69EAE6E9}">
  <dimension ref="A1:I32"/>
  <sheetViews>
    <sheetView tabSelected="1" workbookViewId="0">
      <selection activeCell="D19" sqref="D19"/>
    </sheetView>
  </sheetViews>
  <sheetFormatPr defaultRowHeight="15" x14ac:dyDescent="0.25"/>
  <cols>
    <col min="1" max="1" width="11.85546875" customWidth="1"/>
    <col min="2" max="3" width="9.28515625" bestFit="1" customWidth="1"/>
    <col min="4" max="4" width="9.5703125" bestFit="1" customWidth="1"/>
    <col min="5" max="5" width="9.140625" style="4"/>
    <col min="6" max="6" width="17.5703125" customWidth="1"/>
  </cols>
  <sheetData>
    <row r="1" spans="1:9" x14ac:dyDescent="0.25">
      <c r="B1" t="s">
        <v>22</v>
      </c>
      <c r="C1" t="s">
        <v>1</v>
      </c>
      <c r="D1" t="s">
        <v>2</v>
      </c>
      <c r="E1" s="4" t="s">
        <v>17</v>
      </c>
      <c r="F1" t="s">
        <v>23</v>
      </c>
      <c r="H1" s="12" t="s">
        <v>25</v>
      </c>
      <c r="I1" s="12" t="s">
        <v>26</v>
      </c>
    </row>
    <row r="2" spans="1:9" x14ac:dyDescent="0.25">
      <c r="A2" t="s">
        <v>14</v>
      </c>
      <c r="B2" s="1" t="s">
        <v>16</v>
      </c>
      <c r="C2" s="2">
        <v>2.6791999999999998</v>
      </c>
      <c r="D2" s="3">
        <v>2496</v>
      </c>
      <c r="H2" s="12">
        <v>2.6278999999999999</v>
      </c>
      <c r="I2" s="12">
        <v>2.7191000000000001</v>
      </c>
    </row>
    <row r="3" spans="1:9" x14ac:dyDescent="0.25">
      <c r="A3" t="s">
        <v>15</v>
      </c>
      <c r="B3" s="1" t="s">
        <v>16</v>
      </c>
      <c r="C3" s="2">
        <v>3.1838000000000002</v>
      </c>
      <c r="D3" s="3">
        <v>2498</v>
      </c>
      <c r="H3" s="12">
        <v>2.7004000000000001</v>
      </c>
      <c r="I3" s="12">
        <v>2.7719999999999998</v>
      </c>
    </row>
    <row r="4" spans="1:9" x14ac:dyDescent="0.25">
      <c r="A4" t="s">
        <v>3</v>
      </c>
      <c r="B4" s="2">
        <v>2.8008000000000002</v>
      </c>
      <c r="C4" s="2">
        <v>2.9230999999999998</v>
      </c>
      <c r="D4" s="3">
        <v>2496</v>
      </c>
      <c r="E4" s="4">
        <f t="shared" ref="E4:E18" si="0">C4/B4</f>
        <v>1.0436660954013137</v>
      </c>
      <c r="F4" s="2">
        <f>C4-B4</f>
        <v>0.12229999999999963</v>
      </c>
      <c r="H4" s="12">
        <v>2.7103000000000002</v>
      </c>
      <c r="I4" s="12">
        <v>2.8589000000000002</v>
      </c>
    </row>
    <row r="5" spans="1:9" x14ac:dyDescent="0.25">
      <c r="A5" t="s">
        <v>4</v>
      </c>
      <c r="B5" s="2">
        <v>3.1589</v>
      </c>
      <c r="C5" s="2">
        <v>3.2804000000000002</v>
      </c>
      <c r="D5" s="3">
        <v>2498</v>
      </c>
      <c r="E5" s="4">
        <f t="shared" si="0"/>
        <v>1.0384627560226662</v>
      </c>
      <c r="F5" s="2">
        <f t="shared" ref="F5:F18" si="1">C5-B5</f>
        <v>0.12150000000000016</v>
      </c>
      <c r="H5" s="12">
        <v>2.7440000000000002</v>
      </c>
      <c r="I5" s="12">
        <v>2.8456000000000001</v>
      </c>
    </row>
    <row r="6" spans="1:9" x14ac:dyDescent="0.25">
      <c r="A6" t="s">
        <v>5</v>
      </c>
      <c r="B6" s="2">
        <v>2.6278999999999999</v>
      </c>
      <c r="C6" s="2">
        <v>2.7191000000000001</v>
      </c>
      <c r="D6" s="3">
        <v>2496</v>
      </c>
      <c r="E6" s="4">
        <f t="shared" si="0"/>
        <v>1.0347045169146467</v>
      </c>
      <c r="F6" s="2">
        <f t="shared" si="1"/>
        <v>9.120000000000017E-2</v>
      </c>
      <c r="H6" s="12">
        <v>2.8008000000000002</v>
      </c>
      <c r="I6" s="12">
        <v>2.9230999999999998</v>
      </c>
    </row>
    <row r="7" spans="1:9" x14ac:dyDescent="0.25">
      <c r="A7" t="s">
        <v>6</v>
      </c>
      <c r="B7" s="2">
        <v>3.1741999999999999</v>
      </c>
      <c r="C7" s="2">
        <v>3.2608999999999999</v>
      </c>
      <c r="D7" s="3">
        <v>2498</v>
      </c>
      <c r="E7" s="4">
        <f t="shared" si="0"/>
        <v>1.0273139688740469</v>
      </c>
      <c r="F7" s="2">
        <f t="shared" si="1"/>
        <v>8.6699999999999999E-2</v>
      </c>
      <c r="H7" s="12">
        <v>2.988</v>
      </c>
      <c r="I7" s="12">
        <v>3.089</v>
      </c>
    </row>
    <row r="8" spans="1:9" x14ac:dyDescent="0.25">
      <c r="A8" t="s">
        <v>7</v>
      </c>
      <c r="B8" s="2">
        <v>2.7103000000000002</v>
      </c>
      <c r="C8" s="2">
        <v>2.8589000000000002</v>
      </c>
      <c r="D8" s="3">
        <v>2496</v>
      </c>
      <c r="E8" s="4">
        <f t="shared" si="0"/>
        <v>1.0548278788326015</v>
      </c>
      <c r="F8" s="2">
        <f t="shared" si="1"/>
        <v>0.14860000000000007</v>
      </c>
      <c r="H8" s="12">
        <v>3.0169999999999999</v>
      </c>
      <c r="I8" s="12">
        <v>3.0468000000000002</v>
      </c>
    </row>
    <row r="9" spans="1:9" x14ac:dyDescent="0.25">
      <c r="A9" t="s">
        <v>8</v>
      </c>
      <c r="B9" s="1" t="s">
        <v>16</v>
      </c>
      <c r="C9" s="2">
        <v>3.6993</v>
      </c>
      <c r="D9" s="3">
        <v>3535</v>
      </c>
      <c r="F9" s="2"/>
      <c r="H9" s="12">
        <v>3.1589</v>
      </c>
      <c r="I9" s="12">
        <v>3.2804000000000002</v>
      </c>
    </row>
    <row r="10" spans="1:9" x14ac:dyDescent="0.25">
      <c r="A10" t="s">
        <v>9</v>
      </c>
      <c r="B10" s="2">
        <v>2.7004000000000001</v>
      </c>
      <c r="C10" s="2">
        <v>2.7719999999999998</v>
      </c>
      <c r="D10" s="3">
        <v>2496</v>
      </c>
      <c r="E10" s="4">
        <f t="shared" si="0"/>
        <v>1.0265145904310471</v>
      </c>
      <c r="F10" s="2">
        <f t="shared" si="1"/>
        <v>7.1599999999999664E-2</v>
      </c>
      <c r="H10" s="12">
        <v>3.1741999999999999</v>
      </c>
      <c r="I10" s="12">
        <v>3.2608999999999999</v>
      </c>
    </row>
    <row r="11" spans="1:9" x14ac:dyDescent="0.25">
      <c r="A11" t="s">
        <v>10</v>
      </c>
      <c r="B11" s="2">
        <v>3.6684000000000001</v>
      </c>
      <c r="C11" s="2">
        <v>3.7995999999999999</v>
      </c>
      <c r="D11" s="3">
        <v>3535</v>
      </c>
      <c r="E11" s="4">
        <f t="shared" si="0"/>
        <v>1.035764911132919</v>
      </c>
      <c r="F11" s="2">
        <f t="shared" si="1"/>
        <v>0.13119999999999976</v>
      </c>
      <c r="H11" s="12">
        <v>3.2726999999999999</v>
      </c>
      <c r="I11" s="12">
        <v>3.3178999999999998</v>
      </c>
    </row>
    <row r="12" spans="1:9" x14ac:dyDescent="0.25">
      <c r="A12" t="s">
        <v>12</v>
      </c>
      <c r="B12" s="2">
        <v>2.7440000000000002</v>
      </c>
      <c r="C12" s="2">
        <v>2.8456000000000001</v>
      </c>
      <c r="D12" s="3">
        <v>2496</v>
      </c>
      <c r="E12" s="4">
        <f t="shared" si="0"/>
        <v>1.0370262390670553</v>
      </c>
      <c r="F12" s="2">
        <f t="shared" si="1"/>
        <v>0.10159999999999991</v>
      </c>
      <c r="H12" s="12">
        <v>3.4268000000000001</v>
      </c>
      <c r="I12" s="12">
        <v>3.6981000000000002</v>
      </c>
    </row>
    <row r="13" spans="1:9" x14ac:dyDescent="0.25">
      <c r="A13" t="s">
        <v>13</v>
      </c>
      <c r="B13" s="2">
        <v>3.4268000000000001</v>
      </c>
      <c r="C13" s="2">
        <v>3.6981000000000002</v>
      </c>
      <c r="D13" s="3">
        <v>3535</v>
      </c>
      <c r="E13" s="4">
        <f t="shared" si="0"/>
        <v>1.0791700712034551</v>
      </c>
      <c r="F13" s="2">
        <f t="shared" si="1"/>
        <v>0.2713000000000001</v>
      </c>
      <c r="H13" s="12">
        <v>3.4662999999999999</v>
      </c>
      <c r="I13" s="12">
        <v>3.5741999999999998</v>
      </c>
    </row>
    <row r="14" spans="1:9" x14ac:dyDescent="0.25">
      <c r="A14" t="s">
        <v>11</v>
      </c>
      <c r="B14" s="2">
        <v>3.2726999999999999</v>
      </c>
      <c r="C14" s="2">
        <v>3.3178999999999998</v>
      </c>
      <c r="D14" s="3">
        <v>2496</v>
      </c>
      <c r="E14" s="4">
        <f t="shared" si="0"/>
        <v>1.0138112262046628</v>
      </c>
      <c r="F14" s="2">
        <f t="shared" si="1"/>
        <v>4.5199999999999907E-2</v>
      </c>
      <c r="H14" s="12">
        <v>3.5066999999999999</v>
      </c>
      <c r="I14" s="12">
        <v>3.6053000000000002</v>
      </c>
    </row>
    <row r="15" spans="1:9" x14ac:dyDescent="0.25">
      <c r="A15" t="s">
        <v>0</v>
      </c>
      <c r="B15" s="2">
        <v>3.5066999999999999</v>
      </c>
      <c r="C15" s="2">
        <v>3.6053000000000002</v>
      </c>
      <c r="D15" s="3">
        <v>3535</v>
      </c>
      <c r="E15" s="4">
        <f t="shared" si="0"/>
        <v>1.0281176034448343</v>
      </c>
      <c r="F15" s="2">
        <f t="shared" si="1"/>
        <v>9.8600000000000243E-2</v>
      </c>
      <c r="H15" s="12">
        <v>3.6684000000000001</v>
      </c>
      <c r="I15" s="12">
        <v>3.7995999999999999</v>
      </c>
    </row>
    <row r="16" spans="1:9" x14ac:dyDescent="0.25">
      <c r="A16" t="s">
        <v>18</v>
      </c>
      <c r="B16" s="2">
        <v>3.0169999999999999</v>
      </c>
      <c r="C16" s="2">
        <v>3.0468000000000002</v>
      </c>
      <c r="D16" s="3">
        <v>2496</v>
      </c>
      <c r="E16" s="4">
        <f t="shared" si="0"/>
        <v>1.009877361617501</v>
      </c>
      <c r="F16" s="2">
        <f t="shared" si="1"/>
        <v>2.9800000000000271E-2</v>
      </c>
    </row>
    <row r="17" spans="1:6" x14ac:dyDescent="0.25">
      <c r="A17" t="s">
        <v>19</v>
      </c>
      <c r="B17" s="2">
        <v>3.4662999999999999</v>
      </c>
      <c r="C17" s="2">
        <v>3.5741999999999998</v>
      </c>
      <c r="D17" s="3">
        <v>3535</v>
      </c>
      <c r="E17" s="4">
        <f t="shared" si="0"/>
        <v>1.0311282924155438</v>
      </c>
      <c r="F17" s="2">
        <f t="shared" si="1"/>
        <v>0.10789999999999988</v>
      </c>
    </row>
    <row r="18" spans="1:6" x14ac:dyDescent="0.25">
      <c r="A18" t="s">
        <v>20</v>
      </c>
      <c r="B18" s="2">
        <v>2.988</v>
      </c>
      <c r="C18" s="2">
        <v>3.089</v>
      </c>
      <c r="D18" s="3">
        <v>2496</v>
      </c>
      <c r="E18" s="4">
        <f t="shared" si="0"/>
        <v>1.0338018741633199</v>
      </c>
      <c r="F18" s="2">
        <f t="shared" si="1"/>
        <v>0.10099999999999998</v>
      </c>
    </row>
    <row r="19" spans="1:6" x14ac:dyDescent="0.25">
      <c r="B19" s="2">
        <f>AVERAGE(B4:B8,B10:B18)</f>
        <v>3.0901714285714283</v>
      </c>
      <c r="C19" s="2">
        <f>AVERAGE(C4:C8,C10:C18)</f>
        <v>3.1993499999999995</v>
      </c>
      <c r="D19" s="2"/>
      <c r="E19" s="2">
        <f>AVERAGE(E4:E8,E10:E18)</f>
        <v>1.035299098980401</v>
      </c>
      <c r="F19" s="2">
        <f>AVERAGE(F4:F8,F10:F18)</f>
        <v>0.10917857142857142</v>
      </c>
    </row>
    <row r="20" spans="1:6" x14ac:dyDescent="0.25">
      <c r="B20" s="2">
        <f>B19</f>
        <v>3.0901714285714283</v>
      </c>
      <c r="C20" s="2">
        <f>C19</f>
        <v>3.1993499999999995</v>
      </c>
      <c r="E20" s="4">
        <f>C20/B20</f>
        <v>1.0353309109064683</v>
      </c>
      <c r="F20" s="2">
        <f>C20-B20</f>
        <v>0.10917857142857113</v>
      </c>
    </row>
    <row r="26" spans="1:6" x14ac:dyDescent="0.25">
      <c r="A26" t="s">
        <v>21</v>
      </c>
      <c r="B26" s="2">
        <v>2.5682999999999998</v>
      </c>
      <c r="C26" s="5" t="s">
        <v>24</v>
      </c>
      <c r="D26" s="3">
        <v>4361</v>
      </c>
    </row>
    <row r="27" spans="1:6" ht="18.75" x14ac:dyDescent="0.3">
      <c r="B27" s="9" t="s">
        <v>27</v>
      </c>
      <c r="C27" s="10">
        <f>B26*$B$30</f>
        <v>2.6592178199999998</v>
      </c>
      <c r="D27" s="11" t="s">
        <v>32</v>
      </c>
    </row>
    <row r="28" spans="1:6" x14ac:dyDescent="0.25">
      <c r="B28" s="7" t="s">
        <v>28</v>
      </c>
      <c r="C28" s="8">
        <f>B26*$B$31+$B$32</f>
        <v>2.6560414469999998</v>
      </c>
    </row>
    <row r="30" spans="1:6" x14ac:dyDescent="0.25">
      <c r="A30" t="s">
        <v>29</v>
      </c>
      <c r="B30" s="6">
        <v>1.0354000000000001</v>
      </c>
    </row>
    <row r="31" spans="1:6" x14ac:dyDescent="0.25">
      <c r="A31" t="s">
        <v>30</v>
      </c>
      <c r="B31" s="6">
        <v>1.0410900000000001</v>
      </c>
    </row>
    <row r="32" spans="1:6" x14ac:dyDescent="0.25">
      <c r="A32" t="s">
        <v>31</v>
      </c>
      <c r="B32" s="6">
        <v>-1.779E-2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</dc:creator>
  <cp:lastModifiedBy>Desiderio, Russell A</cp:lastModifiedBy>
  <dcterms:created xsi:type="dcterms:W3CDTF">2021-08-19T22:08:01Z</dcterms:created>
  <dcterms:modified xsi:type="dcterms:W3CDTF">2024-03-04T22:22:57Z</dcterms:modified>
</cp:coreProperties>
</file>